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320"/>
  </bookViews>
  <sheets>
    <sheet name="dashborad2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606318852629"/>
          <c:y val="0.0180912427897221"/>
          <c:w val="0.772188734150904"/>
          <c:h val="0.974042999475616"/>
        </c:manualLayout>
      </c:layout>
      <c:doughnutChart>
        <c:varyColors val="1"/>
        <c:ser>
          <c:idx val="0"/>
          <c:order val="0"/>
          <c:spPr>
            <a:ln>
              <a:solidFill>
                <a:schemeClr val="accent1"/>
              </a:solidFill>
            </a:ln>
          </c:spPr>
          <c:explosion val="0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alpha val="0"/>
                </a:schemeClr>
              </a:solidFill>
              <a:ln>
                <a:solidFill>
                  <a:schemeClr val="accent1"/>
                </a:solidFill>
              </a:ln>
              <a:effectLst/>
            </c:spPr>
          </c:dPt>
          <c:dLbls>
            <c:delete val="1"/>
          </c:dLbls>
          <c:cat>
            <c:strRef>
              <c:f>'[1]data visualization '!$I$29:$I$30</c:f>
              <c:strCache>
                <c:ptCount val="2"/>
                <c:pt idx="0">
                  <c:v>Good loan percentage </c:v>
                </c:pt>
                <c:pt idx="1">
                  <c:v>Bad loan Percentage </c:v>
                </c:pt>
              </c:strCache>
            </c:strRef>
          </c:cat>
          <c:val>
            <c:numRef>
              <c:f>'[1]data visualization '!$J$29:$J$30</c:f>
              <c:numCache>
                <c:formatCode>0%</c:formatCode>
                <c:ptCount val="2"/>
                <c:pt idx="0">
                  <c:v>0.86</c:v>
                </c:pt>
                <c:pt idx="1">
                  <c:v>0.13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2058f3-d60f-4923-990c-c25b4f083206}"/>
      </c:ext>
    </c:extLst>
  </c:chart>
  <c:spPr>
    <a:solidFill>
      <a:schemeClr val="bg1">
        <a:alpha val="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89892999408116"/>
          <c:y val="0.119798998666686"/>
          <c:w val="0.64738387152478"/>
          <c:h val="0.894962998328957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3">
                  <a:lumMod val="60000"/>
                  <a:lumOff val="40000"/>
                  <a:alpha val="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'[1]data visualization '!$I$29:$I$30</c:f>
              <c:strCache>
                <c:ptCount val="2"/>
                <c:pt idx="0">
                  <c:v>Good loan percentage </c:v>
                </c:pt>
                <c:pt idx="1">
                  <c:v>Bad loan Percentage </c:v>
                </c:pt>
              </c:strCache>
            </c:strRef>
          </c:cat>
          <c:val>
            <c:numRef>
              <c:f>'[1]data visualization '!$J$29:$J$30</c:f>
              <c:numCache>
                <c:formatCode>0%</c:formatCode>
                <c:ptCount val="2"/>
                <c:pt idx="0">
                  <c:v>0.86</c:v>
                </c:pt>
                <c:pt idx="1">
                  <c:v>0.13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ed2c2bc-4e93-4083-9341-30f5c7645a95}"/>
      </c:ext>
    </c:extLst>
  </c:chart>
  <c:spPr>
    <a:solidFill>
      <a:schemeClr val="bg1">
        <a:alpha val="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357814033944503"/>
          <c:y val="0.00707046900777752"/>
          <c:w val="0.961595531116348"/>
          <c:h val="0.78503562945368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'[1]data visualization '!$B$33</c:f>
              <c:strCache>
                <c:ptCount val="1"/>
                <c:pt idx="0">
                  <c:v>Count of id2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fr-FR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'[1]data visualization '!$A$34:$A$36</c:f>
              <c:strCache>
                <c:ptCount val="3"/>
                <c:pt idx="0">
                  <c:v>Charged </c:v>
                </c:pt>
                <c:pt idx="1">
                  <c:v>Current </c:v>
                </c:pt>
                <c:pt idx="2">
                  <c:v>Fully Paid </c:v>
                </c:pt>
              </c:strCache>
            </c:strRef>
          </c:cat>
          <c:val>
            <c:numRef>
              <c:f>'[1]data visualization '!$B$34:$B$36</c:f>
              <c:numCache>
                <c:formatCode>General</c:formatCode>
                <c:ptCount val="3"/>
                <c:pt idx="0">
                  <c:v>5333</c:v>
                </c:pt>
                <c:pt idx="1">
                  <c:v>1098</c:v>
                </c:pt>
                <c:pt idx="2">
                  <c:v>32145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163435305"/>
        <c:axId val="582467069"/>
      </c:barChart>
      <c:catAx>
        <c:axId val="163435305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2467069"/>
        <c:crosses val="autoZero"/>
        <c:auto val="1"/>
        <c:lblAlgn val="ctr"/>
        <c:lblOffset val="100"/>
        <c:noMultiLvlLbl val="0"/>
      </c:catAx>
      <c:valAx>
        <c:axId val="58246706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4353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tx2">
            <a:lumMod val="25000"/>
            <a:lumOff val="75000"/>
          </a:schemeClr>
        </a:soli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8b910e-4ae7-4947-8983-9e30e7c8d85a}"/>
      </c:ext>
    </c:extLst>
  </c:chart>
  <c:spPr>
    <a:solidFill>
      <a:schemeClr val="bg1">
        <a:alpha val="0"/>
      </a:schemeClr>
    </a:solidFill>
    <a:ln w="9525" cap="flat" cmpd="sng" algn="ctr">
      <a:solidFill>
        <a:schemeClr val="tx1">
          <a:lumMod val="15000"/>
          <a:lumOff val="85000"/>
          <a:alpha val="91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642616718228"/>
          <c:y val="0.313270769852875"/>
          <c:w val="0.789080157687254"/>
          <c:h val="0.5871289479933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'[1]data visualization '!$E$33</c:f>
              <c:strCache>
                <c:ptCount val="1"/>
                <c:pt idx="0">
                  <c:v>Sum of loan _amount </c:v>
                </c:pt>
              </c:strCache>
            </c:strRef>
          </c:tx>
          <c:spPr>
            <a:solidFill>
              <a:schemeClr val="accent6">
                <a:alpha val="62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</c:dPt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'[1]data visualization '!$D$34:$D$36</c:f>
              <c:strCache>
                <c:ptCount val="3"/>
                <c:pt idx="0">
                  <c:v>Current </c:v>
                </c:pt>
                <c:pt idx="1">
                  <c:v>Charged off</c:v>
                </c:pt>
                <c:pt idx="2">
                  <c:v>Fully Paid </c:v>
                </c:pt>
              </c:strCache>
            </c:strRef>
          </c:cat>
          <c:val>
            <c:numRef>
              <c:f>'[1]data visualization '!$E$34:$E$36</c:f>
              <c:numCache>
                <c:formatCode>"$"#,#00\ "M"</c:formatCode>
                <c:ptCount val="3"/>
                <c:pt idx="0">
                  <c:v>18.9</c:v>
                </c:pt>
                <c:pt idx="1" c:formatCode="General">
                  <c:v>5.5</c:v>
                </c:pt>
                <c:pt idx="2" c:formatCode="General">
                  <c:v>351.4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72992626"/>
        <c:axId val="467988279"/>
      </c:barChart>
      <c:catAx>
        <c:axId val="6729926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fr-FR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out"/>
        <c:minorTickMark val="none"/>
        <c:tickLblPos val="nextTo"/>
        <c:spPr>
          <a:solidFill>
            <a:schemeClr val="accent2">
              <a:lumMod val="60000"/>
              <a:lumOff val="4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7988279"/>
        <c:crosses val="autoZero"/>
        <c:auto val="1"/>
        <c:lblAlgn val="ctr"/>
        <c:lblOffset val="100"/>
        <c:noMultiLvlLbl val="0"/>
      </c:catAx>
      <c:valAx>
        <c:axId val="467988279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fr-FR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&quot;$&quot;#,#00\ &quot;M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29926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6543bc-4ff6-49d4-9829-3b390d8450aa}"/>
      </c:ext>
    </c:extLst>
  </c:chart>
  <c:spPr>
    <a:solidFill>
      <a:srgbClr val="156082">
        <a:alpha val="84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'[1]data visualization '!$H$33</c:f>
              <c:strCache>
                <c:ptCount val="1"/>
                <c:pt idx="0">
                  <c:v>Sum of total payment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</c:dPt>
          <c:dLbls>
            <c:delete val="1"/>
          </c:dLbls>
          <c:cat>
            <c:strRef>
              <c:f>'[1]data visualization '!$G$34:$G$36</c:f>
              <c:strCache>
                <c:ptCount val="3"/>
                <c:pt idx="0">
                  <c:v>Current </c:v>
                </c:pt>
                <c:pt idx="1">
                  <c:v>Charged off </c:v>
                </c:pt>
                <c:pt idx="2">
                  <c:v>Fully Paid </c:v>
                </c:pt>
              </c:strCache>
            </c:strRef>
          </c:cat>
          <c:val>
            <c:numRef>
              <c:f>'[1]data visualization '!$H$34:$H$36</c:f>
              <c:numCache>
                <c:formatCode>General</c:formatCode>
                <c:ptCount val="3"/>
                <c:pt idx="0">
                  <c:v>24.2</c:v>
                </c:pt>
                <c:pt idx="1">
                  <c:v>37.3</c:v>
                </c:pt>
                <c:pt idx="2">
                  <c:v>411.6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916869907"/>
        <c:axId val="414181411"/>
      </c:barChart>
      <c:catAx>
        <c:axId val="91686990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solidFill>
            <a:schemeClr val="accent5">
              <a:lumMod val="60000"/>
              <a:lumOff val="4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4181411"/>
        <c:crosses val="autoZero"/>
        <c:auto val="1"/>
        <c:lblAlgn val="ctr"/>
        <c:lblOffset val="100"/>
        <c:noMultiLvlLbl val="0"/>
      </c:catAx>
      <c:valAx>
        <c:axId val="4141814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68699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tx2">
            <a:lumMod val="50000"/>
            <a:lumOff val="50000"/>
          </a:schemeClr>
        </a:soli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128069-b399-4b85-8f23-c24e5e3b45c1}"/>
      </c:ext>
    </c:extLst>
  </c:chart>
  <c:spPr>
    <a:solidFill>
      <a:schemeClr val="bg1">
        <a:alpha val="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of int rate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85253456221198"/>
          <c:y val="0.162697477010139"/>
          <c:w val="0.92329163923634"/>
          <c:h val="0.59004951662343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'[1]data visualization '!$A$55</c:f>
              <c:strCache>
                <c:ptCount val="1"/>
                <c:pt idx="0">
                  <c:v>Row Labels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'[1]data visualization '!$A$56:$A$59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'[1]data visualization '!$B$55</c:f>
              <c:strCache>
                <c:ptCount val="1"/>
                <c:pt idx="0">
                  <c:v>Average of int rate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'[1]data visualization '!$B$56:$B$59</c:f>
              <c:numCache>
                <c:formatCode>0%</c:formatCode>
                <c:ptCount val="4"/>
                <c:pt idx="0">
                  <c:v>15.1</c:v>
                </c:pt>
                <c:pt idx="1">
                  <c:v>13.88</c:v>
                </c:pt>
                <c:pt idx="2" c:formatCode="General">
                  <c:v>11.64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466018730"/>
        <c:axId val="93847974"/>
      </c:barChart>
      <c:catAx>
        <c:axId val="46601873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847974"/>
        <c:crosses val="autoZero"/>
        <c:auto val="1"/>
        <c:lblAlgn val="ctr"/>
        <c:lblOffset val="100"/>
        <c:noMultiLvlLbl val="0"/>
      </c:catAx>
      <c:valAx>
        <c:axId val="9384797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60187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15009874917709"/>
          <c:y val="0.91157745814666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9efadd-a15b-4810-af19-f50b4a082630}"/>
      </c:ext>
    </c:extLst>
  </c:chart>
  <c:spPr>
    <a:solidFill>
      <a:schemeClr val="bg1">
        <a:alpha val="39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'[1]data visualization '!$E$56</c:f>
              <c:strCache>
                <c:ptCount val="1"/>
                <c:pt idx="0">
                  <c:v>Average of dti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'[1]data visualization '!$D$57:$D$59</c:f>
              <c:strCache>
                <c:ptCount val="3"/>
                <c:pt idx="0">
                  <c:v>Current </c:v>
                </c:pt>
                <c:pt idx="1">
                  <c:v>Charged off</c:v>
                </c:pt>
                <c:pt idx="2">
                  <c:v>Fullllyy OFF</c:v>
                </c:pt>
              </c:strCache>
            </c:strRef>
          </c:cat>
          <c:val>
            <c:numRef>
              <c:f>'[1]data visualization '!$E$57:$E$59</c:f>
              <c:numCache>
                <c:formatCode>0%</c:formatCode>
                <c:ptCount val="3"/>
                <c:pt idx="0">
                  <c:v>0.147</c:v>
                </c:pt>
                <c:pt idx="1">
                  <c:v>0.14</c:v>
                </c:pt>
                <c:pt idx="2" c:formatCode="General">
                  <c:v>0.131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30187605"/>
        <c:axId val="975866529"/>
      </c:barChart>
      <c:catAx>
        <c:axId val="13018760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solidFill>
            <a:schemeClr val="accent2">
              <a:alpha val="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5866529"/>
        <c:crosses val="autoZero"/>
        <c:auto val="1"/>
        <c:lblAlgn val="ctr"/>
        <c:lblOffset val="100"/>
        <c:noMultiLvlLbl val="0"/>
      </c:catAx>
      <c:valAx>
        <c:axId val="97586652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1876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63d985-0949-45fd-b45a-89870da91ab4}"/>
      </c:ext>
    </c:extLst>
  </c:chart>
  <c:spPr>
    <a:solidFill>
      <a:schemeClr val="bg1">
        <a:alpha val="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'[1]data visualization '!$J$57</c:f>
              <c:strCache>
                <c:ptCount val="1"/>
                <c:pt idx="0">
                  <c:v>Count of id2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'[1]data visualization '!$I$58:$I$69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'[1]data visualization '!$J$58:$J$69</c:f>
              <c:numCache>
                <c:formatCode>General</c:formatCode>
                <c:ptCount val="12"/>
                <c:pt idx="0">
                  <c:v>2.3</c:v>
                </c:pt>
                <c:pt idx="1">
                  <c:v>2.3</c:v>
                </c:pt>
                <c:pt idx="2">
                  <c:v>2.6</c:v>
                </c:pt>
                <c:pt idx="3">
                  <c:v>2.8</c:v>
                </c:pt>
                <c:pt idx="4">
                  <c:v>2.9</c:v>
                </c:pt>
                <c:pt idx="5">
                  <c:v>3.2</c:v>
                </c:pt>
                <c:pt idx="6">
                  <c:v>3.4</c:v>
                </c:pt>
                <c:pt idx="7">
                  <c:v>3.4</c:v>
                </c:pt>
                <c:pt idx="8">
                  <c:v>3.5</c:v>
                </c:pt>
                <c:pt idx="9">
                  <c:v>3.8</c:v>
                </c:pt>
                <c:pt idx="10">
                  <c:v>4</c:v>
                </c:pt>
                <c:pt idx="11">
                  <c:v>4.3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39316148"/>
        <c:axId val="953485613"/>
      </c:lineChart>
      <c:catAx>
        <c:axId val="6393161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485613"/>
        <c:crosses val="autoZero"/>
        <c:auto val="1"/>
        <c:lblAlgn val="ctr"/>
        <c:lblOffset val="100"/>
        <c:noMultiLvlLbl val="0"/>
      </c:catAx>
      <c:valAx>
        <c:axId val="9534856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93161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936bd6-2e1a-4336-8abe-a6ab8f38f8c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2</xdr:row>
      <xdr:rowOff>36830</xdr:rowOff>
    </xdr:from>
    <xdr:to>
      <xdr:col>30</xdr:col>
      <xdr:colOff>205740</xdr:colOff>
      <xdr:row>46</xdr:row>
      <xdr:rowOff>82550</xdr:rowOff>
    </xdr:to>
    <xdr:sp>
      <xdr:nvSpPr>
        <xdr:cNvPr id="2" name="Rectangle 1"/>
        <xdr:cNvSpPr/>
      </xdr:nvSpPr>
      <xdr:spPr>
        <a:xfrm>
          <a:off x="6350" y="430530"/>
          <a:ext cx="21668740" cy="870712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fr-F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fr-FR" altLang="en-US" sz="1100"/>
        </a:p>
      </xdr:txBody>
    </xdr:sp>
    <xdr:clientData/>
  </xdr:twoCellAnchor>
  <xdr:twoCellAnchor>
    <xdr:from>
      <xdr:col>0</xdr:col>
      <xdr:colOff>114935</xdr:colOff>
      <xdr:row>3</xdr:row>
      <xdr:rowOff>25400</xdr:rowOff>
    </xdr:from>
    <xdr:to>
      <xdr:col>17</xdr:col>
      <xdr:colOff>166370</xdr:colOff>
      <xdr:row>5</xdr:row>
      <xdr:rowOff>0</xdr:rowOff>
    </xdr:to>
    <xdr:sp>
      <xdr:nvSpPr>
        <xdr:cNvPr id="3" name="Rectangle 2"/>
        <xdr:cNvSpPr/>
      </xdr:nvSpPr>
      <xdr:spPr>
        <a:xfrm>
          <a:off x="114935" y="615950"/>
          <a:ext cx="12217400" cy="368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fr-F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fr-FR" altLang="en-US" sz="1100"/>
            <a:t>                                                  </a:t>
          </a:r>
          <a:r>
            <a:rPr lang="fr-FR" altLang="en-US" sz="1400" b="1" i="1">
              <a:solidFill>
                <a:srgbClr val="FF0000"/>
              </a:solidFill>
            </a:rPr>
            <a:t>                                     BANK LOAN REPORT | SUMMARY</a:t>
          </a:r>
          <a:r>
            <a:rPr lang="fr-FR" altLang="en-US" sz="1100"/>
            <a:t> </a:t>
          </a:r>
          <a:endParaRPr lang="fr-FR" altLang="en-US" sz="1100"/>
        </a:p>
      </xdr:txBody>
    </xdr:sp>
    <xdr:clientData/>
  </xdr:twoCellAnchor>
  <xdr:twoCellAnchor>
    <xdr:from>
      <xdr:col>0</xdr:col>
      <xdr:colOff>101600</xdr:colOff>
      <xdr:row>5</xdr:row>
      <xdr:rowOff>13335</xdr:rowOff>
    </xdr:from>
    <xdr:to>
      <xdr:col>2</xdr:col>
      <xdr:colOff>177165</xdr:colOff>
      <xdr:row>46</xdr:row>
      <xdr:rowOff>178435</xdr:rowOff>
    </xdr:to>
    <xdr:sp>
      <xdr:nvSpPr>
        <xdr:cNvPr id="4" name="Rectangle 3"/>
        <xdr:cNvSpPr/>
      </xdr:nvSpPr>
      <xdr:spPr>
        <a:xfrm>
          <a:off x="101600" y="997585"/>
          <a:ext cx="1506855" cy="82359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fr-F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fr-FR" altLang="en-US" sz="1100"/>
        </a:p>
      </xdr:txBody>
    </xdr:sp>
    <xdr:clientData/>
  </xdr:twoCellAnchor>
  <xdr:twoCellAnchor>
    <xdr:from>
      <xdr:col>2</xdr:col>
      <xdr:colOff>254000</xdr:colOff>
      <xdr:row>5</xdr:row>
      <xdr:rowOff>101600</xdr:rowOff>
    </xdr:from>
    <xdr:to>
      <xdr:col>5</xdr:col>
      <xdr:colOff>114300</xdr:colOff>
      <xdr:row>11</xdr:row>
      <xdr:rowOff>184150</xdr:rowOff>
    </xdr:to>
    <xdr:sp>
      <xdr:nvSpPr>
        <xdr:cNvPr id="5" name="Rectangle 4"/>
        <xdr:cNvSpPr/>
      </xdr:nvSpPr>
      <xdr:spPr>
        <a:xfrm>
          <a:off x="1685290" y="1085850"/>
          <a:ext cx="2007235" cy="12636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fr-F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fr-FR" altLang="en-US" sz="1200" b="1"/>
            <a:t>Total Loan Applications</a:t>
          </a:r>
          <a:endParaRPr lang="fr-FR" altLang="en-US" sz="1200" b="1"/>
        </a:p>
        <a:p>
          <a:pPr algn="l"/>
          <a:r>
            <a:rPr lang="fr-FR" altLang="en-US" sz="1100"/>
            <a:t> </a:t>
          </a:r>
          <a:endParaRPr lang="fr-FR" altLang="en-US" sz="1100"/>
        </a:p>
      </xdr:txBody>
    </xdr:sp>
    <xdr:clientData/>
  </xdr:twoCellAnchor>
  <xdr:twoCellAnchor>
    <xdr:from>
      <xdr:col>2</xdr:col>
      <xdr:colOff>469900</xdr:colOff>
      <xdr:row>7</xdr:row>
      <xdr:rowOff>88900</xdr:rowOff>
    </xdr:from>
    <xdr:to>
      <xdr:col>4</xdr:col>
      <xdr:colOff>565150</xdr:colOff>
      <xdr:row>10</xdr:row>
      <xdr:rowOff>102235</xdr:rowOff>
    </xdr:to>
    <xdr:sp>
      <xdr:nvSpPr>
        <xdr:cNvPr id="6" name="Rectangle 5"/>
        <xdr:cNvSpPr/>
      </xdr:nvSpPr>
      <xdr:spPr>
        <a:xfrm>
          <a:off x="1901190" y="1466850"/>
          <a:ext cx="1526540" cy="603885"/>
        </a:xfrm>
        <a:prstGeom prst="rect">
          <a:avLst/>
        </a:prstGeom>
        <a:solidFill>
          <a:srgbClr val="F2AA8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fr-F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fr-FR" altLang="en-US" sz="1100" b="1">
              <a:solidFill>
                <a:srgbClr val="FF0000"/>
              </a:solidFill>
            </a:rPr>
            <a:t>         </a:t>
          </a:r>
          <a:r>
            <a:rPr lang="fr-FR" altLang="en-US" sz="1800" b="1">
              <a:solidFill>
                <a:srgbClr val="FF0000"/>
              </a:solidFill>
            </a:rPr>
            <a:t>38,6K</a:t>
          </a:r>
          <a:endParaRPr lang="fr-FR" altLang="en-US" sz="1800" b="1">
            <a:solidFill>
              <a:srgbClr val="FF0000"/>
            </a:solidFill>
          </a:endParaRPr>
        </a:p>
        <a:p>
          <a:pPr algn="l"/>
          <a:r>
            <a:rPr lang="fr-FR" altLang="en-US" b="1">
              <a:solidFill>
                <a:schemeClr val="bg1"/>
              </a:solidFill>
            </a:rPr>
            <a:t>MTD</a:t>
          </a:r>
          <a:r>
            <a:rPr lang="fr-FR" altLang="en-US" b="1">
              <a:solidFill>
                <a:srgbClr val="FF0000"/>
              </a:solidFill>
            </a:rPr>
            <a:t>            </a:t>
          </a:r>
          <a:r>
            <a:rPr lang="fr-FR" altLang="en-US" b="1">
              <a:solidFill>
                <a:schemeClr val="bg1"/>
              </a:solidFill>
            </a:rPr>
            <a:t> MoM</a:t>
          </a:r>
          <a:endParaRPr lang="fr-FR" altLang="en-US" b="1">
            <a:solidFill>
              <a:schemeClr val="bg1"/>
            </a:solidFill>
          </a:endParaRPr>
        </a:p>
        <a:p>
          <a:pPr algn="l"/>
          <a:r>
            <a:rPr lang="fr-FR" altLang="en-US" b="1">
              <a:solidFill>
                <a:schemeClr val="bg1"/>
              </a:solidFill>
            </a:rPr>
            <a:t>            </a:t>
          </a:r>
          <a:endParaRPr lang="fr-FR" altLang="en-US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215900</xdr:colOff>
      <xdr:row>5</xdr:row>
      <xdr:rowOff>114300</xdr:rowOff>
    </xdr:from>
    <xdr:to>
      <xdr:col>8</xdr:col>
      <xdr:colOff>76200</xdr:colOff>
      <xdr:row>12</xdr:row>
      <xdr:rowOff>6350</xdr:rowOff>
    </xdr:to>
    <xdr:sp>
      <xdr:nvSpPr>
        <xdr:cNvPr id="7" name="Rectangle 6"/>
        <xdr:cNvSpPr/>
      </xdr:nvSpPr>
      <xdr:spPr>
        <a:xfrm>
          <a:off x="3794125" y="1098550"/>
          <a:ext cx="2007235" cy="1270000"/>
        </a:xfrm>
        <a:prstGeom prst="rect">
          <a:avLst/>
        </a:prstGeom>
        <a:solidFill>
          <a:srgbClr val="F2AA8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fr-F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fr-FR" altLang="en-US" sz="1200" b="1"/>
            <a:t>Total Funded Amount </a:t>
          </a:r>
          <a:endParaRPr lang="fr-FR" altLang="en-US" sz="1200" b="1"/>
        </a:p>
        <a:p>
          <a:pPr algn="l"/>
          <a:r>
            <a:rPr lang="fr-FR" altLang="en-US" sz="1100"/>
            <a:t> </a:t>
          </a:r>
          <a:endParaRPr lang="fr-FR" altLang="en-US" sz="1100"/>
        </a:p>
        <a:p>
          <a:pPr algn="l"/>
          <a:r>
            <a:rPr lang="fr-FR" altLang="en-US" sz="1100"/>
            <a:t>      </a:t>
          </a:r>
          <a:r>
            <a:rPr lang="fr-FR" altLang="en-US" sz="1400"/>
            <a:t>  </a:t>
          </a:r>
          <a:r>
            <a:rPr lang="fr-FR" altLang="en-US" sz="1400" b="1"/>
            <a:t>    </a:t>
          </a:r>
          <a:r>
            <a:rPr lang="fr-FR" altLang="en-US" sz="1400" b="1">
              <a:solidFill>
                <a:schemeClr val="bg2"/>
              </a:solidFill>
            </a:rPr>
            <a:t>$435,8M</a:t>
          </a:r>
          <a:endParaRPr lang="fr-FR" altLang="en-US" sz="1400" b="1">
            <a:solidFill>
              <a:schemeClr val="bg2"/>
            </a:solidFill>
          </a:endParaRPr>
        </a:p>
        <a:p>
          <a:pPr algn="l"/>
          <a:r>
            <a:rPr lang="fr-FR" altLang="en-US" sz="1400" b="1">
              <a:solidFill>
                <a:schemeClr val="bg2"/>
              </a:solidFill>
            </a:rPr>
            <a:t>MTD               MoM</a:t>
          </a:r>
          <a:endParaRPr lang="fr-FR" altLang="en-US" sz="1400" b="1">
            <a:solidFill>
              <a:schemeClr val="bg2"/>
            </a:solidFill>
          </a:endParaRPr>
        </a:p>
      </xdr:txBody>
    </xdr:sp>
    <xdr:clientData/>
  </xdr:twoCellAnchor>
  <xdr:twoCellAnchor>
    <xdr:from>
      <xdr:col>8</xdr:col>
      <xdr:colOff>222250</xdr:colOff>
      <xdr:row>5</xdr:row>
      <xdr:rowOff>95250</xdr:rowOff>
    </xdr:from>
    <xdr:to>
      <xdr:col>11</xdr:col>
      <xdr:colOff>202565</xdr:colOff>
      <xdr:row>11</xdr:row>
      <xdr:rowOff>177800</xdr:rowOff>
    </xdr:to>
    <xdr:sp>
      <xdr:nvSpPr>
        <xdr:cNvPr id="8" name="Rectangle 7"/>
        <xdr:cNvSpPr/>
      </xdr:nvSpPr>
      <xdr:spPr>
        <a:xfrm>
          <a:off x="5947410" y="1079500"/>
          <a:ext cx="2127250" cy="1263650"/>
        </a:xfrm>
        <a:prstGeom prst="rect">
          <a:avLst/>
        </a:prstGeom>
        <a:solidFill>
          <a:srgbClr val="F2AA8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fr-F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fr-FR" altLang="en-US" sz="1200" b="1"/>
            <a:t>Total Amount Received  </a:t>
          </a:r>
          <a:endParaRPr lang="fr-FR" altLang="en-US" sz="1200" b="1"/>
        </a:p>
        <a:p>
          <a:pPr algn="l"/>
          <a:r>
            <a:rPr lang="fr-FR" altLang="en-US" sz="1100"/>
            <a:t> </a:t>
          </a:r>
          <a:endParaRPr lang="fr-FR" altLang="en-US" sz="1100"/>
        </a:p>
        <a:p>
          <a:pPr algn="l"/>
          <a:r>
            <a:rPr lang="fr-FR" altLang="en-US" sz="1100"/>
            <a:t>       </a:t>
          </a:r>
          <a:r>
            <a:rPr lang="fr-FR" altLang="en-US" sz="1600" b="1"/>
            <a:t>   $473,1M</a:t>
          </a:r>
          <a:endParaRPr lang="fr-FR" altLang="en-US" sz="1600" b="1"/>
        </a:p>
      </xdr:txBody>
    </xdr:sp>
    <xdr:clientData/>
  </xdr:twoCellAnchor>
  <xdr:twoCellAnchor>
    <xdr:from>
      <xdr:col>11</xdr:col>
      <xdr:colOff>336550</xdr:colOff>
      <xdr:row>5</xdr:row>
      <xdr:rowOff>95250</xdr:rowOff>
    </xdr:from>
    <xdr:to>
      <xdr:col>14</xdr:col>
      <xdr:colOff>196850</xdr:colOff>
      <xdr:row>11</xdr:row>
      <xdr:rowOff>177800</xdr:rowOff>
    </xdr:to>
    <xdr:sp>
      <xdr:nvSpPr>
        <xdr:cNvPr id="9" name="Rectangle 8"/>
        <xdr:cNvSpPr/>
      </xdr:nvSpPr>
      <xdr:spPr>
        <a:xfrm>
          <a:off x="8208645" y="1079500"/>
          <a:ext cx="2007235" cy="1263650"/>
        </a:xfrm>
        <a:prstGeom prst="rect">
          <a:avLst/>
        </a:prstGeom>
        <a:solidFill>
          <a:srgbClr val="F2AA8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fr-F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fr-FR" altLang="en-US" sz="1200" b="1"/>
            <a:t>Avg  interest Rate </a:t>
          </a:r>
          <a:endParaRPr lang="fr-FR" altLang="en-US" sz="1200" b="1"/>
        </a:p>
        <a:p>
          <a:pPr algn="l"/>
          <a:r>
            <a:rPr lang="fr-FR" altLang="en-US" sz="1100"/>
            <a:t> </a:t>
          </a:r>
          <a:endParaRPr lang="fr-FR" altLang="en-US" sz="1100"/>
        </a:p>
        <a:p>
          <a:pPr algn="l"/>
          <a:r>
            <a:rPr lang="fr-FR" altLang="en-US" sz="1100"/>
            <a:t>       </a:t>
          </a:r>
          <a:r>
            <a:rPr lang="fr-FR" altLang="en-US" sz="1100" b="1"/>
            <a:t>         </a:t>
          </a:r>
          <a:r>
            <a:rPr lang="fr-FR" altLang="en-US" sz="1600" b="1"/>
            <a:t>12,05%</a:t>
          </a:r>
          <a:endParaRPr lang="fr-FR" altLang="en-US" sz="1600" b="1"/>
        </a:p>
      </xdr:txBody>
    </xdr:sp>
    <xdr:clientData/>
  </xdr:twoCellAnchor>
  <xdr:twoCellAnchor>
    <xdr:from>
      <xdr:col>14</xdr:col>
      <xdr:colOff>279400</xdr:colOff>
      <xdr:row>5</xdr:row>
      <xdr:rowOff>107950</xdr:rowOff>
    </xdr:from>
    <xdr:to>
      <xdr:col>17</xdr:col>
      <xdr:colOff>139700</xdr:colOff>
      <xdr:row>12</xdr:row>
      <xdr:rowOff>0</xdr:rowOff>
    </xdr:to>
    <xdr:sp>
      <xdr:nvSpPr>
        <xdr:cNvPr id="10" name="Rectangle 9"/>
        <xdr:cNvSpPr/>
      </xdr:nvSpPr>
      <xdr:spPr>
        <a:xfrm>
          <a:off x="10298430" y="1092200"/>
          <a:ext cx="2007235" cy="1270000"/>
        </a:xfrm>
        <a:prstGeom prst="rect">
          <a:avLst/>
        </a:prstGeom>
        <a:solidFill>
          <a:srgbClr val="F2AA8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fr-F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fr-FR" altLang="en-US" sz="1200" b="1"/>
            <a:t>             Avg DTI</a:t>
          </a:r>
          <a:endParaRPr lang="fr-FR" altLang="en-US" sz="1200" b="1"/>
        </a:p>
        <a:p>
          <a:pPr algn="l"/>
          <a:r>
            <a:rPr lang="fr-FR" altLang="en-US" sz="1100"/>
            <a:t>   </a:t>
          </a:r>
          <a:endParaRPr lang="fr-FR" altLang="en-US" sz="1100"/>
        </a:p>
        <a:p>
          <a:pPr algn="l"/>
          <a:r>
            <a:rPr lang="fr-FR" altLang="en-US" sz="1100"/>
            <a:t>           </a:t>
          </a:r>
          <a:r>
            <a:rPr lang="fr-FR" altLang="en-US" sz="1100" b="1"/>
            <a:t> </a:t>
          </a:r>
          <a:r>
            <a:rPr lang="fr-FR" altLang="en-US" sz="1600" b="1"/>
            <a:t> 13,33%</a:t>
          </a:r>
          <a:endParaRPr lang="fr-FR" altLang="en-US" sz="1600" b="1"/>
        </a:p>
      </xdr:txBody>
    </xdr:sp>
    <xdr:clientData/>
  </xdr:twoCellAnchor>
  <xdr:oneCellAnchor>
    <xdr:from>
      <xdr:col>2</xdr:col>
      <xdr:colOff>499745</xdr:colOff>
      <xdr:row>10</xdr:row>
      <xdr:rowOff>78105</xdr:rowOff>
    </xdr:from>
    <xdr:ext cx="470535" cy="297180"/>
    <xdr:sp>
      <xdr:nvSpPr>
        <xdr:cNvPr id="11" name="Rectangle 10"/>
        <xdr:cNvSpPr/>
      </xdr:nvSpPr>
      <xdr:spPr>
        <a:xfrm>
          <a:off x="1931035" y="2046605"/>
          <a:ext cx="470535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4,3K</a:t>
          </a:r>
          <a:endParaRPr lang="fr-FR" altLang="en-US" sz="1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590550</xdr:colOff>
      <xdr:row>10</xdr:row>
      <xdr:rowOff>95250</xdr:rowOff>
    </xdr:from>
    <xdr:ext cx="506730" cy="303530"/>
    <xdr:sp>
      <xdr:nvSpPr>
        <xdr:cNvPr id="12" name="Rectangle 11"/>
        <xdr:cNvSpPr/>
      </xdr:nvSpPr>
      <xdr:spPr>
        <a:xfrm>
          <a:off x="2737485" y="2063750"/>
          <a:ext cx="506730" cy="303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6,9%</a:t>
          </a:r>
          <a:endParaRPr lang="fr-FR" altLang="en-US" sz="1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5</xdr:col>
      <xdr:colOff>245110</xdr:colOff>
      <xdr:row>10</xdr:row>
      <xdr:rowOff>65405</xdr:rowOff>
    </xdr:from>
    <xdr:ext cx="568325" cy="297180"/>
    <xdr:sp>
      <xdr:nvSpPr>
        <xdr:cNvPr id="13" name="Rectangle 12"/>
        <xdr:cNvSpPr/>
      </xdr:nvSpPr>
      <xdr:spPr>
        <a:xfrm>
          <a:off x="3823335" y="2033905"/>
          <a:ext cx="568325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$54M</a:t>
          </a:r>
          <a:endParaRPr lang="fr-FR" altLang="en-US" sz="1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135255</xdr:colOff>
      <xdr:row>10</xdr:row>
      <xdr:rowOff>65405</xdr:rowOff>
    </xdr:from>
    <xdr:ext cx="448945" cy="297180"/>
    <xdr:sp>
      <xdr:nvSpPr>
        <xdr:cNvPr id="14" name="Rectangle 13"/>
        <xdr:cNvSpPr/>
      </xdr:nvSpPr>
      <xdr:spPr>
        <a:xfrm>
          <a:off x="5144770" y="2033905"/>
          <a:ext cx="448945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13%</a:t>
          </a:r>
          <a:endParaRPr lang="fr-FR" altLang="en-US" sz="1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281305</xdr:colOff>
      <xdr:row>8</xdr:row>
      <xdr:rowOff>180340</xdr:rowOff>
    </xdr:from>
    <xdr:ext cx="615950" cy="370205"/>
    <xdr:sp>
      <xdr:nvSpPr>
        <xdr:cNvPr id="15" name="Rectangle 14"/>
        <xdr:cNvSpPr/>
      </xdr:nvSpPr>
      <xdr:spPr>
        <a:xfrm>
          <a:off x="6006465" y="1755140"/>
          <a:ext cx="615950" cy="370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600" b="1">
              <a:solidFill>
                <a:schemeClr val="bg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MTD</a:t>
          </a:r>
          <a:endParaRPr lang="fr-FR" altLang="en-US" sz="1600" b="1">
            <a:solidFill>
              <a:schemeClr val="bg2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10</xdr:col>
      <xdr:colOff>113665</xdr:colOff>
      <xdr:row>8</xdr:row>
      <xdr:rowOff>179705</xdr:rowOff>
    </xdr:from>
    <xdr:ext cx="668655" cy="370205"/>
    <xdr:sp>
      <xdr:nvSpPr>
        <xdr:cNvPr id="16" name="Rectangle 15"/>
        <xdr:cNvSpPr/>
      </xdr:nvSpPr>
      <xdr:spPr>
        <a:xfrm>
          <a:off x="7270115" y="1754505"/>
          <a:ext cx="668655" cy="370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600" b="1">
              <a:solidFill>
                <a:schemeClr val="bg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MoM</a:t>
          </a:r>
          <a:endParaRPr lang="fr-FR" altLang="en-US" sz="1600" b="1">
            <a:solidFill>
              <a:schemeClr val="bg2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11</xdr:col>
      <xdr:colOff>441325</xdr:colOff>
      <xdr:row>9</xdr:row>
      <xdr:rowOff>27305</xdr:rowOff>
    </xdr:from>
    <xdr:ext cx="561975" cy="330200"/>
    <xdr:sp>
      <xdr:nvSpPr>
        <xdr:cNvPr id="17" name="Rectangle 16"/>
        <xdr:cNvSpPr/>
      </xdr:nvSpPr>
      <xdr:spPr>
        <a:xfrm>
          <a:off x="8313420" y="1798955"/>
          <a:ext cx="561975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400" b="1">
              <a:solidFill>
                <a:schemeClr val="bg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MTD</a:t>
          </a:r>
          <a:endParaRPr lang="fr-FR" altLang="en-US" sz="1400" b="1">
            <a:solidFill>
              <a:schemeClr val="bg2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13</xdr:col>
      <xdr:colOff>83820</xdr:colOff>
      <xdr:row>9</xdr:row>
      <xdr:rowOff>8890</xdr:rowOff>
    </xdr:from>
    <xdr:ext cx="668655" cy="363855"/>
    <xdr:sp>
      <xdr:nvSpPr>
        <xdr:cNvPr id="18" name="Rectangle 17"/>
        <xdr:cNvSpPr/>
      </xdr:nvSpPr>
      <xdr:spPr>
        <a:xfrm>
          <a:off x="9387205" y="1780540"/>
          <a:ext cx="668655" cy="363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600" b="1">
              <a:solidFill>
                <a:schemeClr val="bg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MoM</a:t>
          </a:r>
          <a:endParaRPr lang="fr-FR" altLang="en-US" sz="1600" b="1">
            <a:solidFill>
              <a:schemeClr val="bg2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368935</xdr:colOff>
      <xdr:row>9</xdr:row>
      <xdr:rowOff>59055</xdr:rowOff>
    </xdr:from>
    <xdr:ext cx="561975" cy="336550"/>
    <xdr:sp>
      <xdr:nvSpPr>
        <xdr:cNvPr id="19" name="Rectangle 18"/>
        <xdr:cNvSpPr/>
      </xdr:nvSpPr>
      <xdr:spPr>
        <a:xfrm>
          <a:off x="10387965" y="1830705"/>
          <a:ext cx="561975" cy="336550"/>
        </a:xfrm>
        <a:prstGeom prst="rect">
          <a:avLst/>
        </a:prstGeom>
        <a:solidFill>
          <a:srgbClr val="40404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4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MTD</a:t>
          </a:r>
          <a:endParaRPr lang="fr-FR" altLang="en-US" sz="1400" b="1"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16</xdr:col>
      <xdr:colOff>115570</xdr:colOff>
      <xdr:row>9</xdr:row>
      <xdr:rowOff>34290</xdr:rowOff>
    </xdr:from>
    <xdr:ext cx="668655" cy="370205"/>
    <xdr:sp>
      <xdr:nvSpPr>
        <xdr:cNvPr id="20" name="Rectangle 19"/>
        <xdr:cNvSpPr/>
      </xdr:nvSpPr>
      <xdr:spPr>
        <a:xfrm>
          <a:off x="11565890" y="1805940"/>
          <a:ext cx="668655" cy="370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6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MoM</a:t>
          </a:r>
          <a:endParaRPr lang="fr-FR" altLang="en-US" sz="1600" b="1"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257810</xdr:colOff>
      <xdr:row>10</xdr:row>
      <xdr:rowOff>71755</xdr:rowOff>
    </xdr:from>
    <xdr:ext cx="660400" cy="297180"/>
    <xdr:sp>
      <xdr:nvSpPr>
        <xdr:cNvPr id="21" name="Rectangle 20"/>
        <xdr:cNvSpPr/>
      </xdr:nvSpPr>
      <xdr:spPr>
        <a:xfrm>
          <a:off x="5982970" y="2040255"/>
          <a:ext cx="6604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$58.1M</a:t>
          </a:r>
          <a:endParaRPr lang="fr-FR" altLang="en-US" sz="1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10</xdr:col>
      <xdr:colOff>146685</xdr:colOff>
      <xdr:row>10</xdr:row>
      <xdr:rowOff>40005</xdr:rowOff>
    </xdr:from>
    <xdr:ext cx="629285" cy="330200"/>
    <xdr:sp>
      <xdr:nvSpPr>
        <xdr:cNvPr id="22" name="Rectangle 21"/>
        <xdr:cNvSpPr/>
      </xdr:nvSpPr>
      <xdr:spPr>
        <a:xfrm>
          <a:off x="7303135" y="2008505"/>
          <a:ext cx="629285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15,9%</a:t>
          </a:r>
          <a:endParaRPr lang="fr-FR" altLang="en-US" sz="14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11</xdr:col>
      <xdr:colOff>436245</xdr:colOff>
      <xdr:row>10</xdr:row>
      <xdr:rowOff>40005</xdr:rowOff>
    </xdr:from>
    <xdr:ext cx="647700" cy="297180"/>
    <xdr:sp>
      <xdr:nvSpPr>
        <xdr:cNvPr id="23" name="Rectangle 22"/>
        <xdr:cNvSpPr/>
      </xdr:nvSpPr>
      <xdr:spPr>
        <a:xfrm>
          <a:off x="8308340" y="2008505"/>
          <a:ext cx="6477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12,36%</a:t>
          </a:r>
          <a:endParaRPr lang="fr-FR" altLang="en-US" sz="1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13</xdr:col>
      <xdr:colOff>176530</xdr:colOff>
      <xdr:row>10</xdr:row>
      <xdr:rowOff>34290</xdr:rowOff>
    </xdr:from>
    <xdr:ext cx="506730" cy="297180"/>
    <xdr:sp>
      <xdr:nvSpPr>
        <xdr:cNvPr id="24" name="Rectangle 23"/>
        <xdr:cNvSpPr/>
      </xdr:nvSpPr>
      <xdr:spPr>
        <a:xfrm>
          <a:off x="9479915" y="2002790"/>
          <a:ext cx="50673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3,5%</a:t>
          </a:r>
          <a:endParaRPr lang="fr-FR" altLang="en-US" sz="1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321945</xdr:colOff>
      <xdr:row>10</xdr:row>
      <xdr:rowOff>85090</xdr:rowOff>
    </xdr:from>
    <xdr:ext cx="647700" cy="297180"/>
    <xdr:sp>
      <xdr:nvSpPr>
        <xdr:cNvPr id="25" name="Rectangle 24"/>
        <xdr:cNvSpPr/>
      </xdr:nvSpPr>
      <xdr:spPr>
        <a:xfrm>
          <a:off x="10340975" y="2053590"/>
          <a:ext cx="6477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13,67%</a:t>
          </a:r>
          <a:endParaRPr lang="fr-FR" altLang="en-US" sz="1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16</xdr:col>
      <xdr:colOff>111760</xdr:colOff>
      <xdr:row>10</xdr:row>
      <xdr:rowOff>84455</xdr:rowOff>
    </xdr:from>
    <xdr:ext cx="647700" cy="297180"/>
    <xdr:sp>
      <xdr:nvSpPr>
        <xdr:cNvPr id="26" name="Rectangle 25"/>
        <xdr:cNvSpPr/>
      </xdr:nvSpPr>
      <xdr:spPr>
        <a:xfrm>
          <a:off x="11562080" y="2052955"/>
          <a:ext cx="6477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13,63%</a:t>
          </a:r>
          <a:endParaRPr lang="fr-FR" altLang="en-US" sz="1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2</xdr:col>
      <xdr:colOff>334010</xdr:colOff>
      <xdr:row>12</xdr:row>
      <xdr:rowOff>196215</xdr:rowOff>
    </xdr:from>
    <xdr:to>
      <xdr:col>9</xdr:col>
      <xdr:colOff>541655</xdr:colOff>
      <xdr:row>28</xdr:row>
      <xdr:rowOff>0</xdr:rowOff>
    </xdr:to>
    <xdr:sp>
      <xdr:nvSpPr>
        <xdr:cNvPr id="27" name="Rectangle 26"/>
        <xdr:cNvSpPr/>
      </xdr:nvSpPr>
      <xdr:spPr>
        <a:xfrm>
          <a:off x="1765300" y="2558415"/>
          <a:ext cx="5217160" cy="295338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fr-F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fr-FR" altLang="en-US" sz="1100"/>
        </a:p>
      </xdr:txBody>
    </xdr:sp>
    <xdr:clientData/>
  </xdr:twoCellAnchor>
  <xdr:twoCellAnchor>
    <xdr:from>
      <xdr:col>9</xdr:col>
      <xdr:colOff>704850</xdr:colOff>
      <xdr:row>12</xdr:row>
      <xdr:rowOff>167640</xdr:rowOff>
    </xdr:from>
    <xdr:to>
      <xdr:col>17</xdr:col>
      <xdr:colOff>196850</xdr:colOff>
      <xdr:row>27</xdr:row>
      <xdr:rowOff>193675</xdr:rowOff>
    </xdr:to>
    <xdr:sp>
      <xdr:nvSpPr>
        <xdr:cNvPr id="28" name="Rectangle 27"/>
        <xdr:cNvSpPr/>
      </xdr:nvSpPr>
      <xdr:spPr>
        <a:xfrm>
          <a:off x="7145655" y="2529840"/>
          <a:ext cx="5217160" cy="297878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fr-F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fr-FR" altLang="en-US" sz="1100"/>
        </a:p>
      </xdr:txBody>
    </xdr:sp>
    <xdr:clientData/>
  </xdr:twoCellAnchor>
  <xdr:oneCellAnchor>
    <xdr:from>
      <xdr:col>2</xdr:col>
      <xdr:colOff>537210</xdr:colOff>
      <xdr:row>13</xdr:row>
      <xdr:rowOff>24130</xdr:rowOff>
    </xdr:from>
    <xdr:ext cx="2814955" cy="487680"/>
    <xdr:sp>
      <xdr:nvSpPr>
        <xdr:cNvPr id="29" name="Rectangle 28"/>
        <xdr:cNvSpPr/>
      </xdr:nvSpPr>
      <xdr:spPr>
        <a:xfrm>
          <a:off x="1968500" y="2583180"/>
          <a:ext cx="2814955" cy="487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2400" b="1"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 Loan Issued: </a:t>
          </a:r>
          <a:endParaRPr lang="fr-FR" altLang="en-US" sz="2400" b="1"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2</xdr:col>
      <xdr:colOff>356870</xdr:colOff>
      <xdr:row>15</xdr:row>
      <xdr:rowOff>107315</xdr:rowOff>
    </xdr:from>
    <xdr:to>
      <xdr:col>6</xdr:col>
      <xdr:colOff>554355</xdr:colOff>
      <xdr:row>27</xdr:row>
      <xdr:rowOff>147955</xdr:rowOff>
    </xdr:to>
    <xdr:graphicFrame>
      <xdr:nvGraphicFramePr>
        <xdr:cNvPr id="30" name="Graphique 29"/>
        <xdr:cNvGraphicFramePr/>
      </xdr:nvGraphicFramePr>
      <xdr:xfrm>
        <a:off x="1788160" y="3060065"/>
        <a:ext cx="3060065" cy="240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230505</xdr:colOff>
      <xdr:row>20</xdr:row>
      <xdr:rowOff>111760</xdr:rowOff>
    </xdr:from>
    <xdr:ext cx="3456305" cy="421005"/>
    <xdr:sp>
      <xdr:nvSpPr>
        <xdr:cNvPr id="31" name="Rectangle 30"/>
        <xdr:cNvSpPr/>
      </xdr:nvSpPr>
      <xdr:spPr>
        <a:xfrm>
          <a:off x="1661795" y="4048760"/>
          <a:ext cx="3456305" cy="4210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86,18%</a:t>
          </a:r>
          <a:endParaRPr lang="fr-FR" alt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6</xdr:col>
      <xdr:colOff>644525</xdr:colOff>
      <xdr:row>10</xdr:row>
      <xdr:rowOff>119380</xdr:rowOff>
    </xdr:from>
    <xdr:ext cx="2216785" cy="1410335"/>
    <xdr:sp>
      <xdr:nvSpPr>
        <xdr:cNvPr id="32" name="Rectangle 31"/>
        <xdr:cNvSpPr/>
      </xdr:nvSpPr>
      <xdr:spPr>
        <a:xfrm>
          <a:off x="4938395" y="2087880"/>
          <a:ext cx="2216785" cy="1410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 Loan Total Application</a:t>
          </a:r>
          <a:r>
            <a:rPr lang="fr-FR" altLang="en-US" sz="7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endParaRPr lang="fr-FR" altLang="en-US" sz="7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254000</xdr:colOff>
      <xdr:row>16</xdr:row>
      <xdr:rowOff>130175</xdr:rowOff>
    </xdr:from>
    <xdr:ext cx="1104900" cy="421005"/>
    <xdr:sp>
      <xdr:nvSpPr>
        <xdr:cNvPr id="33" name="Rectangle 32"/>
        <xdr:cNvSpPr/>
      </xdr:nvSpPr>
      <xdr:spPr>
        <a:xfrm>
          <a:off x="5263515" y="3279775"/>
          <a:ext cx="1104900" cy="4210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2000" b="1">
              <a:solidFill>
                <a:srgbClr val="FFFF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33,2K</a:t>
          </a:r>
          <a:endParaRPr lang="fr-FR" altLang="en-US" sz="2000" b="1">
            <a:solidFill>
              <a:srgbClr val="FFFF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6</xdr:col>
      <xdr:colOff>495300</xdr:colOff>
      <xdr:row>19</xdr:row>
      <xdr:rowOff>107950</xdr:rowOff>
    </xdr:from>
    <xdr:ext cx="2117725" cy="288925"/>
    <xdr:sp>
      <xdr:nvSpPr>
        <xdr:cNvPr id="34" name="Rectangle 33"/>
        <xdr:cNvSpPr/>
      </xdr:nvSpPr>
      <xdr:spPr>
        <a:xfrm>
          <a:off x="4789170" y="3848100"/>
          <a:ext cx="2117725" cy="288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 Loan Funded Amount </a:t>
          </a:r>
          <a:endParaRPr lang="fr-FR" altLang="en-US" sz="1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6</xdr:col>
      <xdr:colOff>530225</xdr:colOff>
      <xdr:row>23</xdr:row>
      <xdr:rowOff>115570</xdr:rowOff>
    </xdr:from>
    <xdr:ext cx="2117725" cy="288925"/>
    <xdr:sp>
      <xdr:nvSpPr>
        <xdr:cNvPr id="35" name="Rectangle 34"/>
        <xdr:cNvSpPr/>
      </xdr:nvSpPr>
      <xdr:spPr>
        <a:xfrm>
          <a:off x="4824095" y="4643120"/>
          <a:ext cx="2117725" cy="288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 Loan Funded Amount </a:t>
          </a:r>
          <a:endParaRPr lang="fr-FR" altLang="en-US" sz="1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127635</xdr:colOff>
      <xdr:row>17</xdr:row>
      <xdr:rowOff>160020</xdr:rowOff>
    </xdr:from>
    <xdr:ext cx="1480185" cy="1279525"/>
    <xdr:sp>
      <xdr:nvSpPr>
        <xdr:cNvPr id="36" name="Rectangle 35"/>
        <xdr:cNvSpPr/>
      </xdr:nvSpPr>
      <xdr:spPr>
        <a:xfrm>
          <a:off x="5137150" y="3506470"/>
          <a:ext cx="1480185" cy="1279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2000" b="1">
              <a:solidFill>
                <a:srgbClr val="FFFF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$370,2M</a:t>
          </a:r>
          <a:r>
            <a:rPr lang="fr-FR" altLang="en-US" sz="7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endParaRPr lang="fr-FR" altLang="en-US" sz="7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283210</xdr:colOff>
      <xdr:row>25</xdr:row>
      <xdr:rowOff>41910</xdr:rowOff>
    </xdr:from>
    <xdr:ext cx="1060450" cy="387350"/>
    <xdr:sp>
      <xdr:nvSpPr>
        <xdr:cNvPr id="37" name="Rectangle 36"/>
        <xdr:cNvSpPr/>
      </xdr:nvSpPr>
      <xdr:spPr>
        <a:xfrm>
          <a:off x="5292725" y="4963160"/>
          <a:ext cx="1060450" cy="387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800" b="1">
              <a:solidFill>
                <a:srgbClr val="FFFF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$435,8M</a:t>
          </a:r>
          <a:endParaRPr lang="fr-FR" altLang="en-US" sz="1800" b="1">
            <a:solidFill>
              <a:srgbClr val="FFFF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10</xdr:col>
      <xdr:colOff>474980</xdr:colOff>
      <xdr:row>12</xdr:row>
      <xdr:rowOff>173990</xdr:rowOff>
    </xdr:from>
    <xdr:ext cx="1828165" cy="387350"/>
    <xdr:sp>
      <xdr:nvSpPr>
        <xdr:cNvPr id="38" name="Rectangle 37"/>
        <xdr:cNvSpPr/>
      </xdr:nvSpPr>
      <xdr:spPr>
        <a:xfrm>
          <a:off x="7631430" y="2536190"/>
          <a:ext cx="1828165" cy="387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800" b="1"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Bad Loan Issued</a:t>
          </a:r>
          <a:endParaRPr lang="fr-FR" altLang="en-US" sz="1800" b="1"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9</xdr:col>
      <xdr:colOff>643255</xdr:colOff>
      <xdr:row>15</xdr:row>
      <xdr:rowOff>68580</xdr:rowOff>
    </xdr:from>
    <xdr:to>
      <xdr:col>14</xdr:col>
      <xdr:colOff>85725</xdr:colOff>
      <xdr:row>27</xdr:row>
      <xdr:rowOff>121285</xdr:rowOff>
    </xdr:to>
    <xdr:graphicFrame>
      <xdr:nvGraphicFramePr>
        <xdr:cNvPr id="39" name="Graphique 38"/>
        <xdr:cNvGraphicFramePr/>
      </xdr:nvGraphicFramePr>
      <xdr:xfrm>
        <a:off x="7084060" y="3021330"/>
        <a:ext cx="3020695" cy="2414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11</xdr:col>
      <xdr:colOff>45720</xdr:colOff>
      <xdr:row>20</xdr:row>
      <xdr:rowOff>106045</xdr:rowOff>
    </xdr:from>
    <xdr:ext cx="1035685" cy="454025"/>
    <xdr:sp>
      <xdr:nvSpPr>
        <xdr:cNvPr id="40" name="Rectangle 39"/>
        <xdr:cNvSpPr/>
      </xdr:nvSpPr>
      <xdr:spPr>
        <a:xfrm>
          <a:off x="7917815" y="4043045"/>
          <a:ext cx="1035685" cy="454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2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13,82%</a:t>
          </a:r>
          <a:endParaRPr lang="fr-FR" altLang="en-US" sz="2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416560</xdr:colOff>
      <xdr:row>14</xdr:row>
      <xdr:rowOff>92710</xdr:rowOff>
    </xdr:from>
    <xdr:ext cx="1874520" cy="320675"/>
    <xdr:sp>
      <xdr:nvSpPr>
        <xdr:cNvPr id="41" name="Rectangle 40"/>
        <xdr:cNvSpPr/>
      </xdr:nvSpPr>
      <xdr:spPr>
        <a:xfrm>
          <a:off x="10435590" y="2848610"/>
          <a:ext cx="1874520" cy="320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 Loan Total App</a:t>
          </a:r>
          <a:endParaRPr lang="fr-FR" altLang="en-US" sz="14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15</xdr:col>
      <xdr:colOff>200660</xdr:colOff>
      <xdr:row>17</xdr:row>
      <xdr:rowOff>1905</xdr:rowOff>
    </xdr:from>
    <xdr:ext cx="861060" cy="452755"/>
    <xdr:sp>
      <xdr:nvSpPr>
        <xdr:cNvPr id="42" name="Rectangle 41"/>
        <xdr:cNvSpPr/>
      </xdr:nvSpPr>
      <xdr:spPr>
        <a:xfrm>
          <a:off x="10935335" y="3348355"/>
          <a:ext cx="861060" cy="4527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2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33,2K</a:t>
          </a:r>
          <a:endParaRPr lang="fr-FR" altLang="en-US" sz="2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147320</xdr:colOff>
      <xdr:row>16</xdr:row>
      <xdr:rowOff>64135</xdr:rowOff>
    </xdr:from>
    <xdr:ext cx="2498090" cy="337820"/>
    <xdr:sp>
      <xdr:nvSpPr>
        <xdr:cNvPr id="43" name="Rectangle 42"/>
        <xdr:cNvSpPr/>
      </xdr:nvSpPr>
      <xdr:spPr>
        <a:xfrm>
          <a:off x="10166350" y="3213735"/>
          <a:ext cx="2498090" cy="337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Bad Loan Funded Amount</a:t>
          </a:r>
          <a:r>
            <a:rPr lang="fr-FR" altLang="en-US" sz="7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endParaRPr lang="fr-FR" altLang="en-US" sz="7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139700</xdr:colOff>
      <xdr:row>23</xdr:row>
      <xdr:rowOff>15240</xdr:rowOff>
    </xdr:from>
    <xdr:ext cx="2153285" cy="617220"/>
    <xdr:sp>
      <xdr:nvSpPr>
        <xdr:cNvPr id="44" name="Rectangle 43"/>
        <xdr:cNvSpPr/>
      </xdr:nvSpPr>
      <xdr:spPr>
        <a:xfrm>
          <a:off x="10158730" y="4542790"/>
          <a:ext cx="2153285" cy="617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6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Bad Loan Amount Received </a:t>
          </a:r>
          <a:endParaRPr lang="fr-FR" altLang="en-US" sz="16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15</xdr:col>
      <xdr:colOff>154940</xdr:colOff>
      <xdr:row>21</xdr:row>
      <xdr:rowOff>121285</xdr:rowOff>
    </xdr:from>
    <xdr:ext cx="769620" cy="320675"/>
    <xdr:sp>
      <xdr:nvSpPr>
        <xdr:cNvPr id="45" name="Rectangle 44"/>
        <xdr:cNvSpPr/>
      </xdr:nvSpPr>
      <xdr:spPr>
        <a:xfrm>
          <a:off x="10889615" y="4255135"/>
          <a:ext cx="769620" cy="320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1400" b="1"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$65,5M</a:t>
          </a:r>
          <a:endParaRPr lang="fr-FR" altLang="en-US" sz="1400" b="1"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15</xdr:col>
      <xdr:colOff>69215</xdr:colOff>
      <xdr:row>26</xdr:row>
      <xdr:rowOff>28575</xdr:rowOff>
    </xdr:from>
    <xdr:ext cx="1021080" cy="421005"/>
    <xdr:sp>
      <xdr:nvSpPr>
        <xdr:cNvPr id="46" name="Rectangle 45"/>
        <xdr:cNvSpPr/>
      </xdr:nvSpPr>
      <xdr:spPr>
        <a:xfrm>
          <a:off x="10803890" y="5146675"/>
          <a:ext cx="1021080" cy="4210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altLang="en-US" sz="2000" b="1"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$37,3M</a:t>
          </a:r>
          <a:endParaRPr lang="fr-FR" altLang="en-US" sz="2000" b="1"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2</xdr:col>
      <xdr:colOff>399415</xdr:colOff>
      <xdr:row>31</xdr:row>
      <xdr:rowOff>10795</xdr:rowOff>
    </xdr:from>
    <xdr:to>
      <xdr:col>6</xdr:col>
      <xdr:colOff>650875</xdr:colOff>
      <xdr:row>45</xdr:row>
      <xdr:rowOff>33655</xdr:rowOff>
    </xdr:to>
    <xdr:graphicFrame>
      <xdr:nvGraphicFramePr>
        <xdr:cNvPr id="47" name="Graphique 46"/>
        <xdr:cNvGraphicFramePr/>
      </xdr:nvGraphicFramePr>
      <xdr:xfrm>
        <a:off x="1830705" y="6113145"/>
        <a:ext cx="3114040" cy="2778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163830</xdr:colOff>
      <xdr:row>31</xdr:row>
      <xdr:rowOff>78105</xdr:rowOff>
    </xdr:from>
    <xdr:to>
      <xdr:col>12</xdr:col>
      <xdr:colOff>44450</xdr:colOff>
      <xdr:row>45</xdr:row>
      <xdr:rowOff>1905</xdr:rowOff>
    </xdr:to>
    <xdr:graphicFrame>
      <xdr:nvGraphicFramePr>
        <xdr:cNvPr id="48" name="Graphique 47"/>
        <xdr:cNvGraphicFramePr/>
      </xdr:nvGraphicFramePr>
      <xdr:xfrm>
        <a:off x="5173345" y="6180455"/>
        <a:ext cx="3458845" cy="2679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224790</xdr:colOff>
      <xdr:row>31</xdr:row>
      <xdr:rowOff>64135</xdr:rowOff>
    </xdr:from>
    <xdr:to>
      <xdr:col>17</xdr:col>
      <xdr:colOff>629285</xdr:colOff>
      <xdr:row>44</xdr:row>
      <xdr:rowOff>146685</xdr:rowOff>
    </xdr:to>
    <xdr:graphicFrame>
      <xdr:nvGraphicFramePr>
        <xdr:cNvPr id="49" name="Graphique 48"/>
        <xdr:cNvGraphicFramePr/>
      </xdr:nvGraphicFramePr>
      <xdr:xfrm>
        <a:off x="8812530" y="6166485"/>
        <a:ext cx="3982720" cy="2641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112395</xdr:colOff>
      <xdr:row>31</xdr:row>
      <xdr:rowOff>97790</xdr:rowOff>
    </xdr:from>
    <xdr:to>
      <xdr:col>23</xdr:col>
      <xdr:colOff>649605</xdr:colOff>
      <xdr:row>45</xdr:row>
      <xdr:rowOff>12700</xdr:rowOff>
    </xdr:to>
    <xdr:graphicFrame>
      <xdr:nvGraphicFramePr>
        <xdr:cNvPr id="50" name="Graphique 49"/>
        <xdr:cNvGraphicFramePr/>
      </xdr:nvGraphicFramePr>
      <xdr:xfrm>
        <a:off x="12994005" y="6200140"/>
        <a:ext cx="4115435" cy="2670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123825</xdr:colOff>
      <xdr:row>31</xdr:row>
      <xdr:rowOff>62230</xdr:rowOff>
    </xdr:from>
    <xdr:to>
      <xdr:col>30</xdr:col>
      <xdr:colOff>135255</xdr:colOff>
      <xdr:row>44</xdr:row>
      <xdr:rowOff>176530</xdr:rowOff>
    </xdr:to>
    <xdr:graphicFrame>
      <xdr:nvGraphicFramePr>
        <xdr:cNvPr id="51" name="Graphique 50"/>
        <xdr:cNvGraphicFramePr/>
      </xdr:nvGraphicFramePr>
      <xdr:xfrm>
        <a:off x="17299305" y="6164580"/>
        <a:ext cx="4305300" cy="2673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452755</xdr:colOff>
      <xdr:row>3</xdr:row>
      <xdr:rowOff>21590</xdr:rowOff>
    </xdr:from>
    <xdr:to>
      <xdr:col>29</xdr:col>
      <xdr:colOff>556895</xdr:colOff>
      <xdr:row>29</xdr:row>
      <xdr:rowOff>73660</xdr:rowOff>
    </xdr:to>
    <xdr:graphicFrame>
      <xdr:nvGraphicFramePr>
        <xdr:cNvPr id="52" name="Graphique 51"/>
        <xdr:cNvGraphicFramePr/>
      </xdr:nvGraphicFramePr>
      <xdr:xfrm>
        <a:off x="12618720" y="612140"/>
        <a:ext cx="8691880" cy="5170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EMP.AZ.000\Downloads\financial_loan_data_exce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uille4"/>
      <sheetName val="Feuille8"/>
      <sheetName val="financial_loan"/>
      <sheetName val="Feuille5"/>
      <sheetName val="data visualization "/>
      <sheetName val="dataset "/>
    </sheetNames>
    <sheetDataSet>
      <sheetData sheetId="0"/>
      <sheetData sheetId="1"/>
      <sheetData sheetId="2"/>
      <sheetData sheetId="3"/>
      <sheetData sheetId="4">
        <row r="29">
          <cell r="I29" t="str">
            <v>Good loan percentage </v>
          </cell>
          <cell r="J29">
            <v>0.86</v>
          </cell>
        </row>
        <row r="30">
          <cell r="I30" t="str">
            <v>Bad loan Percentage </v>
          </cell>
          <cell r="J30">
            <v>0.13</v>
          </cell>
        </row>
        <row r="33">
          <cell r="B33" t="str">
            <v>Count of id2</v>
          </cell>
        </row>
        <row r="33">
          <cell r="E33" t="str">
            <v>Sum of loan _amount </v>
          </cell>
        </row>
        <row r="33">
          <cell r="H33" t="str">
            <v>Sum of total payment </v>
          </cell>
        </row>
        <row r="34">
          <cell r="A34" t="str">
            <v>Charged </v>
          </cell>
          <cell r="B34">
            <v>5333</v>
          </cell>
        </row>
        <row r="34">
          <cell r="D34" t="str">
            <v>Current </v>
          </cell>
          <cell r="E34">
            <v>18.9</v>
          </cell>
        </row>
        <row r="34">
          <cell r="G34" t="str">
            <v>Current </v>
          </cell>
          <cell r="H34">
            <v>24.2</v>
          </cell>
        </row>
        <row r="35">
          <cell r="A35" t="str">
            <v>Current </v>
          </cell>
          <cell r="B35">
            <v>1098</v>
          </cell>
        </row>
        <row r="35">
          <cell r="D35" t="str">
            <v>Charged off</v>
          </cell>
          <cell r="E35">
            <v>5.5</v>
          </cell>
        </row>
        <row r="35">
          <cell r="G35" t="str">
            <v>Charged off </v>
          </cell>
          <cell r="H35">
            <v>37.3</v>
          </cell>
        </row>
        <row r="36">
          <cell r="A36" t="str">
            <v>Fully Paid </v>
          </cell>
          <cell r="B36">
            <v>32145</v>
          </cell>
        </row>
        <row r="36">
          <cell r="D36" t="str">
            <v>Fully Paid </v>
          </cell>
          <cell r="E36">
            <v>351.4</v>
          </cell>
        </row>
        <row r="36">
          <cell r="G36" t="str">
            <v>Fully Paid </v>
          </cell>
          <cell r="H36">
            <v>411.6</v>
          </cell>
        </row>
        <row r="55">
          <cell r="A55" t="str">
            <v>Row Labels </v>
          </cell>
          <cell r="B55" t="str">
            <v>Average of int rate </v>
          </cell>
        </row>
        <row r="56">
          <cell r="A56" t="str">
            <v>Current </v>
          </cell>
          <cell r="B56">
            <v>15.1</v>
          </cell>
        </row>
        <row r="56">
          <cell r="E56" t="str">
            <v>Average of dti </v>
          </cell>
        </row>
        <row r="57">
          <cell r="A57" t="str">
            <v>Charged off</v>
          </cell>
          <cell r="B57">
            <v>13.88</v>
          </cell>
        </row>
        <row r="57">
          <cell r="D57" t="str">
            <v>Current </v>
          </cell>
          <cell r="E57">
            <v>0.147</v>
          </cell>
        </row>
        <row r="57">
          <cell r="J57" t="str">
            <v>Count of id2</v>
          </cell>
        </row>
        <row r="58">
          <cell r="A58" t="str">
            <v>Fully Paid </v>
          </cell>
          <cell r="B58">
            <v>11.64</v>
          </cell>
        </row>
        <row r="58">
          <cell r="D58" t="str">
            <v>Charged off</v>
          </cell>
          <cell r="E58">
            <v>0.14</v>
          </cell>
        </row>
        <row r="58">
          <cell r="I58" t="str">
            <v>Jan</v>
          </cell>
          <cell r="J58">
            <v>2.3</v>
          </cell>
        </row>
        <row r="59">
          <cell r="D59" t="str">
            <v>Fullllyy OFF</v>
          </cell>
          <cell r="E59">
            <v>0.131</v>
          </cell>
        </row>
        <row r="59">
          <cell r="I59" t="str">
            <v>Feb</v>
          </cell>
          <cell r="J59">
            <v>2.3</v>
          </cell>
        </row>
        <row r="60">
          <cell r="I60" t="str">
            <v>Mar</v>
          </cell>
          <cell r="J60">
            <v>2.6</v>
          </cell>
        </row>
        <row r="61">
          <cell r="I61" t="str">
            <v>Apr</v>
          </cell>
          <cell r="J61">
            <v>2.8</v>
          </cell>
        </row>
        <row r="62">
          <cell r="I62" t="str">
            <v>May</v>
          </cell>
          <cell r="J62">
            <v>2.9</v>
          </cell>
        </row>
        <row r="63">
          <cell r="I63" t="str">
            <v>Jun</v>
          </cell>
          <cell r="J63">
            <v>3.2</v>
          </cell>
        </row>
        <row r="64">
          <cell r="I64" t="str">
            <v>Jul</v>
          </cell>
          <cell r="J64">
            <v>3.4</v>
          </cell>
        </row>
        <row r="65">
          <cell r="I65" t="str">
            <v>Aug</v>
          </cell>
          <cell r="J65">
            <v>3.4</v>
          </cell>
        </row>
        <row r="66">
          <cell r="I66" t="str">
            <v>Sep</v>
          </cell>
          <cell r="J66">
            <v>3.5</v>
          </cell>
        </row>
        <row r="67">
          <cell r="I67" t="str">
            <v>Oct</v>
          </cell>
          <cell r="J67">
            <v>3.8</v>
          </cell>
        </row>
        <row r="68">
          <cell r="I68" t="str">
            <v>Nov</v>
          </cell>
          <cell r="J68">
            <v>4</v>
          </cell>
        </row>
        <row r="69">
          <cell r="I69" t="str">
            <v>Dec</v>
          </cell>
          <cell r="J69">
            <v>4.3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"/>
  <sheetViews>
    <sheetView showGridLines="0" tabSelected="1" zoomScale="48" zoomScaleNormal="48" workbookViewId="0">
      <selection activeCell="AG20" sqref="AG20"/>
    </sheetView>
  </sheetViews>
  <sheetFormatPr defaultColWidth="9.39166666666667" defaultRowHeight="15.5" outlineLevelRow="2" outlineLevelCol="3"/>
  <cols>
    <col min="1" max="16384" width="9.39166666666667" style="1"/>
  </cols>
  <sheetData>
    <row r="3" spans="4:4">
      <c r="D3"/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dashborad2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 aitiaz</dc:creator>
  <cp:lastModifiedBy>Aitiaz Hasna</cp:lastModifiedBy>
  <dcterms:created xsi:type="dcterms:W3CDTF">2026-02-14T01:22:40Z</dcterms:created>
  <dcterms:modified xsi:type="dcterms:W3CDTF">2026-02-14T01:23:05Z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D6988A35C6C246D5AC65F9A85F762072_11</vt:lpwstr>
  </property>
  <property fmtid="{D5CDD505-2E9C-101B-9397-08002B2CF9AE}" pid="3" name="KSOProductBuildVer">
    <vt:lpwstr>1036-12.2.0.23196</vt:lpwstr>
  </property>
</Properties>
</file>